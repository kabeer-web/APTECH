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p\Videos\aptech-class-main\"/>
    </mc:Choice>
  </mc:AlternateContent>
  <xr:revisionPtr revIDLastSave="0" documentId="13_ncr:1_{B2AD627A-6516-42A3-94F7-C7FBE9440F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5" i="1"/>
  <c r="M9" i="1"/>
  <c r="M5" i="1"/>
  <c r="L5" i="1"/>
  <c r="L6" i="1"/>
  <c r="M6" i="1" s="1"/>
  <c r="L7" i="1"/>
  <c r="M7" i="1" s="1"/>
  <c r="L8" i="1"/>
  <c r="M8" i="1" s="1"/>
  <c r="L9" i="1"/>
  <c r="L10" i="1"/>
  <c r="M10" i="1" s="1"/>
  <c r="L11" i="1"/>
  <c r="M11" i="1" s="1"/>
  <c r="L12" i="1"/>
  <c r="M12" i="1" s="1"/>
</calcChain>
</file>

<file path=xl/sharedStrings.xml><?xml version="1.0" encoding="utf-8"?>
<sst xmlns="http://schemas.openxmlformats.org/spreadsheetml/2006/main" count="27" uniqueCount="27">
  <si>
    <t>STUDENTS RESULT</t>
  </si>
  <si>
    <t>Student ID</t>
  </si>
  <si>
    <t>Student Name</t>
  </si>
  <si>
    <t>HTML</t>
  </si>
  <si>
    <t>CSS</t>
  </si>
  <si>
    <t>Excel</t>
  </si>
  <si>
    <t>PowerPoint</t>
  </si>
  <si>
    <t>Attendance</t>
  </si>
  <si>
    <t>S001</t>
  </si>
  <si>
    <t>Ali</t>
  </si>
  <si>
    <t>S002</t>
  </si>
  <si>
    <t>Sara</t>
  </si>
  <si>
    <t>S003</t>
  </si>
  <si>
    <t>Hamza</t>
  </si>
  <si>
    <t>S004</t>
  </si>
  <si>
    <t>Ayesha</t>
  </si>
  <si>
    <t>S005</t>
  </si>
  <si>
    <t>Zain</t>
  </si>
  <si>
    <t>S006</t>
  </si>
  <si>
    <t>Hina</t>
  </si>
  <si>
    <t>S007</t>
  </si>
  <si>
    <t>Ahmed</t>
  </si>
  <si>
    <t>S008</t>
  </si>
  <si>
    <t>Noor</t>
  </si>
  <si>
    <t>Total</t>
  </si>
  <si>
    <t>Average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</si>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</sst>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9" fontId="0" fillId="4" borderId="1" xfId="0" applyNumberForma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N12"/>
  <sheetViews>
    <sheetView tabSelected="1" workbookViewId="0">
      <selection activeCell="P6" sqref="P6"/>
    </sheetView>
  </sheetViews>
  <sheetFormatPr defaultRowHeight="15" x14ac:dyDescent="0.25"/>
  <cols>
    <col min="5" max="6" width="11.7109375" customWidth="1"/>
    <col min="7" max="7" width="13.28515625" customWidth="1"/>
    <col min="8" max="8" width="11.85546875" customWidth="1"/>
    <col min="9" max="9" width="11.5703125" customWidth="1"/>
    <col min="10" max="10" width="12.140625" customWidth="1"/>
    <col min="11" max="11" width="15" customWidth="1"/>
  </cols>
  <sheetData>
    <row r="1" spans="5:14" ht="30" x14ac:dyDescent="0.4">
      <c r="F1" s="1"/>
      <c r="G1" s="1"/>
      <c r="H1" s="2" t="s">
        <v>0</v>
      </c>
      <c r="I1" s="2"/>
      <c r="J1" s="1"/>
    </row>
    <row r="4" spans="5:14" ht="28.5" x14ac:dyDescent="0.25">
      <c r="E4" s="5" t="s">
        <v>1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24</v>
      </c>
      <c r="M4" s="5" t="s">
        <v>25</v>
      </c>
      <c r="N4" s="5" t="s">
        <v>26</v>
      </c>
    </row>
    <row r="5" spans="5:14" x14ac:dyDescent="0.25">
      <c r="E5" s="3" t="s">
        <v>8</v>
      </c>
      <c r="F5" s="3" t="s">
        <v>9</v>
      </c>
      <c r="G5" s="3">
        <v>78</v>
      </c>
      <c r="H5" s="3">
        <v>82</v>
      </c>
      <c r="I5" s="3">
        <v>75</v>
      </c>
      <c r="J5" s="3">
        <v>80</v>
      </c>
      <c r="K5" s="4">
        <v>0.9</v>
      </c>
      <c r="L5" s="6">
        <f>SUM(G5:K5)</f>
        <v>315.89999999999998</v>
      </c>
      <c r="M5" s="6">
        <f>AVERAGE(G5:L5)</f>
        <v>105.3</v>
      </c>
      <c r="N5" s="6" t="str">
        <f>IF(J2&gt;=50, "Pass", "Fail")</f>
        <v>Fail</v>
      </c>
    </row>
    <row r="6" spans="5:14" x14ac:dyDescent="0.25">
      <c r="E6" s="3" t="s">
        <v>10</v>
      </c>
      <c r="F6" s="3" t="s">
        <v>11</v>
      </c>
      <c r="G6" s="3">
        <v>88</v>
      </c>
      <c r="H6" s="3">
        <v>91</v>
      </c>
      <c r="I6" s="3">
        <v>85</v>
      </c>
      <c r="J6" s="3">
        <v>89</v>
      </c>
      <c r="K6" s="4">
        <v>0.95</v>
      </c>
      <c r="L6" s="6">
        <f t="shared" ref="L6:L12" si="0">SUM(G6:K6)</f>
        <v>353.95</v>
      </c>
      <c r="M6" s="6">
        <f t="shared" ref="M6:M12" si="1">AVERAGE(G6:L6)</f>
        <v>117.98333333333333</v>
      </c>
      <c r="N6" s="6" t="str">
        <f t="shared" ref="N6:N12" si="2">IF(J3&gt;=50, "Pass", "Fail")</f>
        <v>Fail</v>
      </c>
    </row>
    <row r="7" spans="5:14" x14ac:dyDescent="0.25">
      <c r="E7" s="3" t="s">
        <v>12</v>
      </c>
      <c r="F7" s="3" t="s">
        <v>13</v>
      </c>
      <c r="G7" s="3">
        <v>65</v>
      </c>
      <c r="H7" s="3">
        <v>70</v>
      </c>
      <c r="I7" s="3">
        <v>68</v>
      </c>
      <c r="J7" s="3">
        <v>72</v>
      </c>
      <c r="K7" s="4">
        <v>0.8</v>
      </c>
      <c r="L7" s="6">
        <f t="shared" si="0"/>
        <v>275.8</v>
      </c>
      <c r="M7" s="6">
        <f t="shared" si="1"/>
        <v>91.933333333333337</v>
      </c>
      <c r="N7" s="6" t="str">
        <f t="shared" si="2"/>
        <v>Pass</v>
      </c>
    </row>
    <row r="8" spans="5:14" x14ac:dyDescent="0.25">
      <c r="E8" s="3" t="s">
        <v>14</v>
      </c>
      <c r="F8" s="3" t="s">
        <v>15</v>
      </c>
      <c r="G8" s="3">
        <v>92</v>
      </c>
      <c r="H8" s="3">
        <v>95</v>
      </c>
      <c r="I8" s="3">
        <v>90</v>
      </c>
      <c r="J8" s="3">
        <v>94</v>
      </c>
      <c r="K8" s="4">
        <v>0.98</v>
      </c>
      <c r="L8" s="6">
        <f t="shared" si="0"/>
        <v>371.98</v>
      </c>
      <c r="M8" s="6">
        <f t="shared" si="1"/>
        <v>123.99333333333334</v>
      </c>
      <c r="N8" s="6" t="str">
        <f t="shared" si="2"/>
        <v>Pass</v>
      </c>
    </row>
    <row r="9" spans="5:14" x14ac:dyDescent="0.25">
      <c r="E9" s="3" t="s">
        <v>16</v>
      </c>
      <c r="F9" s="3" t="s">
        <v>17</v>
      </c>
      <c r="G9" s="3">
        <v>55</v>
      </c>
      <c r="H9" s="3">
        <v>60</v>
      </c>
      <c r="I9" s="3">
        <v>58</v>
      </c>
      <c r="J9" s="3">
        <v>62</v>
      </c>
      <c r="K9" s="4">
        <v>0.75</v>
      </c>
      <c r="L9" s="6">
        <f t="shared" si="0"/>
        <v>235.75</v>
      </c>
      <c r="M9" s="6">
        <f t="shared" si="1"/>
        <v>78.583333333333329</v>
      </c>
      <c r="N9" s="6" t="str">
        <f t="shared" si="2"/>
        <v>Pass</v>
      </c>
    </row>
    <row r="10" spans="5:14" x14ac:dyDescent="0.25">
      <c r="E10" s="3" t="s">
        <v>18</v>
      </c>
      <c r="F10" s="3" t="s">
        <v>19</v>
      </c>
      <c r="G10" s="3">
        <v>45</v>
      </c>
      <c r="H10" s="3">
        <v>52</v>
      </c>
      <c r="I10" s="3">
        <v>48</v>
      </c>
      <c r="J10" s="3">
        <v>50</v>
      </c>
      <c r="K10" s="4">
        <v>0.65</v>
      </c>
      <c r="L10" s="6">
        <f t="shared" si="0"/>
        <v>195.65</v>
      </c>
      <c r="M10" s="6">
        <f t="shared" si="1"/>
        <v>65.216666666666669</v>
      </c>
      <c r="N10" s="6" t="str">
        <f t="shared" si="2"/>
        <v>Pass</v>
      </c>
    </row>
    <row r="11" spans="5:14" x14ac:dyDescent="0.25">
      <c r="E11" s="3" t="s">
        <v>20</v>
      </c>
      <c r="F11" s="3" t="s">
        <v>21</v>
      </c>
      <c r="G11" s="3">
        <v>73</v>
      </c>
      <c r="H11" s="3">
        <v>78</v>
      </c>
      <c r="I11" s="3">
        <v>70</v>
      </c>
      <c r="J11" s="3">
        <v>76</v>
      </c>
      <c r="K11" s="4">
        <v>0.88</v>
      </c>
      <c r="L11" s="6">
        <f t="shared" si="0"/>
        <v>297.88</v>
      </c>
      <c r="M11" s="6">
        <f t="shared" si="1"/>
        <v>99.293333333333337</v>
      </c>
      <c r="N11" s="6" t="str">
        <f t="shared" si="2"/>
        <v>Pass</v>
      </c>
    </row>
    <row r="12" spans="5:14" x14ac:dyDescent="0.25">
      <c r="E12" s="3" t="s">
        <v>22</v>
      </c>
      <c r="F12" s="3" t="s">
        <v>23</v>
      </c>
      <c r="G12" s="3">
        <v>85</v>
      </c>
      <c r="H12" s="3">
        <v>80</v>
      </c>
      <c r="I12" s="3">
        <v>88</v>
      </c>
      <c r="J12" s="3">
        <v>90</v>
      </c>
      <c r="K12" s="4">
        <v>0.93</v>
      </c>
      <c r="L12" s="6">
        <f t="shared" si="0"/>
        <v>343.93</v>
      </c>
      <c r="M12" s="6">
        <f t="shared" si="1"/>
        <v>114.64333333333333</v>
      </c>
      <c r="N12" s="6" t="str">
        <f t="shared" si="2"/>
        <v>Pass</v>
      </c>
    </row>
  </sheetData>
  <dataValidations count="1">
    <dataValidation type="whole" allowBlank="1" showInputMessage="1" showErrorMessage="1" sqref="N5:N12" xr:uid="{71C5571D-7E45-44A3-B1F3-EE85F2276283}">
      <formula1>50</formula1>
      <formula2>100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</dc:creator>
  <cp:lastModifiedBy>asp</cp:lastModifiedBy>
  <dcterms:created xsi:type="dcterms:W3CDTF">2015-06-05T18:17:20Z</dcterms:created>
  <dcterms:modified xsi:type="dcterms:W3CDTF">2026-10-01T11:43:38Z</dcterms:modified>
</cp:coreProperties>
</file>